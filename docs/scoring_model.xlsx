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bric" sheetId="1" state="visible" r:id="rId3"/>
    <sheet name="Scoring" sheetId="2" state="visible" r:id="rId4"/>
    <sheet name="Fronti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<sst xmlns="http://schemas.openxmlformats.org/spreadsheetml/2006/main" count="122" uniqueCount="86">
  <si>
    <t xml:space="preserve">Scoring rubric — anchor definitions</t>
  </si>
  <si>
    <t xml:space="preserve">Each dimension scored 1-5 against a written anchor. Weights are set here and drive the Scoring sheet. Change a weight and every score recalculates.</t>
  </si>
  <si>
    <t xml:space="preserve">Dimension</t>
  </si>
  <si>
    <t xml:space="preserve">Weight</t>
  </si>
  <si>
    <t xml:space="preserve">Direction</t>
  </si>
  <si>
    <t xml:space="preserve">1 — worst</t>
  </si>
  <si>
    <t xml:space="preserve">3 — middling</t>
  </si>
  <si>
    <t xml:space="preserve">5 — best</t>
  </si>
  <si>
    <t xml:space="preserve">Data readiness</t>
  </si>
  <si>
    <t xml:space="preserve">Higher is better</t>
  </si>
  <si>
    <t xml:space="preserve">No labels exist; would require labelling from scratch</t>
  </si>
  <si>
    <t xml:space="preserve">Labels exist but reliability is unmeasured</t>
  </si>
  <si>
    <t xml:space="preserve">Labels exist and their reliability has been measured</t>
  </si>
  <si>
    <t xml:space="preserve">Technical feasibility</t>
  </si>
  <si>
    <t xml:space="preserve">Open research problem; no established approach</t>
  </si>
  <si>
    <t xml:space="preserve">Established task class but domain-specific difficulty</t>
  </si>
  <si>
    <t xml:space="preserve">Solved task class with standard evaluation methods</t>
  </si>
  <si>
    <t xml:space="preserve">Value at stake</t>
  </si>
  <si>
    <t xml:space="preserve">Marginal; affects a small fraction of volume</t>
  </si>
  <si>
    <t xml:space="preserve">Meaningful on a subset of volume</t>
  </si>
  <si>
    <t xml:space="preserve">Affects the majority of intake volume directly</t>
  </si>
  <si>
    <t xml:space="preserve">Failure cost</t>
  </si>
  <si>
    <t xml:space="preserve">LOWER is better (inverted)</t>
  </si>
  <si>
    <t xml:space="preserve">Consumer harm, regulatory breach, or irreversible action</t>
  </si>
  <si>
    <t xml:space="preserve">Rework and delay; recoverable within the process</t>
  </si>
  <si>
    <t xml:space="preserve">Trivial; error is cosmetic or immediately visible</t>
  </si>
  <si>
    <t xml:space="preserve">Reversibility</t>
  </si>
  <si>
    <t xml:space="preserve">No human sees the output before it takes effect</t>
  </si>
  <si>
    <t xml:space="preserve">Human review exists but is not enforced</t>
  </si>
  <si>
    <t xml:space="preserve">Human approval is required before any effect</t>
  </si>
  <si>
    <t xml:space="preserve">Regulatory exposure</t>
  </si>
  <si>
    <t xml:space="preserve">Directly implicates FCRA, UDAAP, or fair-lending obligations</t>
  </si>
  <si>
    <t xml:space="preserve">Adjacent to regulated activity; disclosure implications</t>
  </si>
  <si>
    <t xml:space="preserve">Internal-only; no external regulatory surface</t>
  </si>
  <si>
    <t xml:space="preserve">Change management burden</t>
  </si>
  <si>
    <t xml:space="preserve">Requires new roles, retraining, and process redesign</t>
  </si>
  <si>
    <t xml:space="preserve">Fits existing roles with modest retraining</t>
  </si>
  <si>
    <t xml:space="preserve">Drop-in; no process change required</t>
  </si>
  <si>
    <t xml:space="preserve">Total</t>
  </si>
  <si>
    <t xml:space="preserve">Inverted dimensions are entered as raw severity 1-5 and flipped to (6 - score) in the Scoring sheet, so every contribution points the same way.</t>
  </si>
  <si>
    <t xml:space="preserve">Twelve candidate interventions — weighted scoring</t>
  </si>
  <si>
    <t xml:space="preserve">Yellow cells are inputs. Failure cost, regulatory exposure and change burden are entered as SEVERITY (5 = worst) and inverted in the formula. Weighted score is out of 5.</t>
  </si>
  <si>
    <t xml:space="preserve">#</t>
  </si>
  <si>
    <t xml:space="preserve">Candidate intervention</t>
  </si>
  <si>
    <t xml:space="preserve">Type</t>
  </si>
  <si>
    <t xml:space="preserve">Tech feasibility</t>
  </si>
  <si>
    <t xml:space="preserve">Failure cost (sev)</t>
  </si>
  <si>
    <t xml:space="preserve">Reg exposure (sev)</t>
  </si>
  <si>
    <t xml:space="preserve">Change burden (sev)</t>
  </si>
  <si>
    <t xml:space="preserve">Weighted score</t>
  </si>
  <si>
    <t xml:space="preserve">Value</t>
  </si>
  <si>
    <t xml:space="preserve">Decision</t>
  </si>
  <si>
    <t xml:space="preserve">Auto-classify Product (13 classes)</t>
  </si>
  <si>
    <t xml:space="preserve">Classification</t>
  </si>
  <si>
    <t xml:space="preserve">BUILD</t>
  </si>
  <si>
    <t xml:space="preserve">Auto-classify Issue (89 classes)</t>
  </si>
  <si>
    <t xml:space="preserve">BUILD (reduced scope)</t>
  </si>
  <si>
    <t xml:space="preserve">Extract structured entities</t>
  </si>
  <si>
    <t xml:space="preserve">Extraction</t>
  </si>
  <si>
    <t xml:space="preserve">Defer</t>
  </si>
  <si>
    <t xml:space="preserve">Detect duplicate or related complaints</t>
  </si>
  <si>
    <t xml:space="preserve">Similarity</t>
  </si>
  <si>
    <t xml:space="preserve">Severity and escalation scoring</t>
  </si>
  <si>
    <t xml:space="preserve">Do not build</t>
  </si>
  <si>
    <t xml:space="preserve">Draft acknowledgment letter grounded in regulation</t>
  </si>
  <si>
    <t xml:space="preserve">Generation + RAG</t>
  </si>
  <si>
    <t xml:space="preserve">Summarize narrative to 2-sentence abstract</t>
  </si>
  <si>
    <t xml:space="preserve">Summarization</t>
  </si>
  <si>
    <t xml:space="preserve">Suggest applicable regulation section</t>
  </si>
  <si>
    <t xml:space="preserve">Retrieval</t>
  </si>
  <si>
    <t xml:space="preserve">Detect UDAAP risk language</t>
  </si>
  <si>
    <t xml:space="preserve">Sentiment and consumer-distress flag</t>
  </si>
  <si>
    <t xml:space="preserve">Full autonomous resolution recommendation</t>
  </si>
  <si>
    <t xml:space="preserve">Generation</t>
  </si>
  <si>
    <t xml:space="preserve">DO NOT BUILD</t>
  </si>
  <si>
    <t xml:space="preserve">Predict likelihood of consumer dispute</t>
  </si>
  <si>
    <t xml:space="preserve">Prediction</t>
  </si>
  <si>
    <t xml:space="preserve">Portfolio summary</t>
  </si>
  <si>
    <t xml:space="preserve">Candidates assessed</t>
  </si>
  <si>
    <t xml:space="preserve">Recommended to build</t>
  </si>
  <si>
    <t xml:space="preserve">Deferred</t>
  </si>
  <si>
    <t xml:space="preserve">Highest weighted score</t>
  </si>
  <si>
    <t xml:space="preserve">Mean weighted score</t>
  </si>
  <si>
    <t xml:space="preserve">Value at stake vs failure cost</t>
  </si>
  <si>
    <t xml:space="preserve">The do-not-build quadrant is top-right: high value AND high failure cost. Value alone does not justify a build. Candidates 11, 12 and 9 sit there.</t>
  </si>
  <si>
    <t xml:space="preserve">Candidate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</si>
</sst>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5FA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5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Value at stake vs failure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"Candidates"</c:f>
              <c:strCache>
                <c:ptCount val="1"/>
                <c:pt idx="0">
                  <c:v>Candidates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9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Frontier!$C$5:$C$16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5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</c:numCache>
            </c:numRef>
          </c:xVal>
          <c:yVal>
            <c:numRef>
              <c:f>Frontier!$B$5:$B$16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</c:numCache>
            </c:numRef>
          </c:yVal>
          <c:smooth val="1"/>
        </c:ser>
        <c:axId val="86065321"/>
        <c:axId val="63677125"/>
      </c:scatterChart>
      <c:valAx>
        <c:axId val="86065321"/>
        <c:scaling>
          <c:orientation val="minMax"/>
          <c:max val="6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Failure cost (5 = worst)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77125"/>
        <c:crosses val="autoZero"/>
        <c:crossBetween val="midCat"/>
      </c:valAx>
      <c:valAx>
        <c:axId val="63677125"/>
        <c:scaling>
          <c:orientation val="minMax"/>
          <c:max val="6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 at stake (5 = highest)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6532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15</xdr:col>
      <xdr:colOff>364680</xdr:colOff>
      <xdr:row>25</xdr:row>
      <xdr:rowOff>99000</xdr:rowOff>
    </xdr:to>
    <xdr:graphicFrame>
      <xdr:nvGraphicFramePr>
        <xdr:cNvPr id="0" name="Chart 1"/>
        <xdr:cNvGraphicFramePr/>
      </xdr:nvGraphicFramePr>
      <xdr:xfrm>
        <a:off x="5616000" y="5716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6" min="4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s">
        <v>8</v>
      </c>
      <c r="B5" s="5" t="n">
        <v>0.2</v>
      </c>
      <c r="C5" s="6" t="s">
        <v>9</v>
      </c>
      <c r="D5" s="6" t="s">
        <v>10</v>
      </c>
      <c r="E5" s="6" t="s">
        <v>11</v>
      </c>
      <c r="F5" s="6" t="s">
        <v>12</v>
      </c>
    </row>
    <row r="6" customFormat="false" ht="23.85" hidden="false" customHeight="false" outlineLevel="0" collapsed="false">
      <c r="A6" s="7" t="s">
        <v>13</v>
      </c>
      <c r="B6" s="5" t="n">
        <v>0.15</v>
      </c>
      <c r="C6" s="8" t="s">
        <v>9</v>
      </c>
      <c r="D6" s="8" t="s">
        <v>14</v>
      </c>
      <c r="E6" s="8" t="s">
        <v>15</v>
      </c>
      <c r="F6" s="8" t="s">
        <v>16</v>
      </c>
    </row>
    <row r="7" customFormat="false" ht="15" hidden="false" customHeight="false" outlineLevel="0" collapsed="false">
      <c r="A7" s="4" t="s">
        <v>17</v>
      </c>
      <c r="B7" s="5" t="n">
        <v>0.2</v>
      </c>
      <c r="C7" s="6" t="s">
        <v>9</v>
      </c>
      <c r="D7" s="6" t="s">
        <v>18</v>
      </c>
      <c r="E7" s="6" t="s">
        <v>19</v>
      </c>
      <c r="F7" s="6" t="s">
        <v>20</v>
      </c>
    </row>
    <row r="8" customFormat="false" ht="23.85" hidden="false" customHeight="false" outlineLevel="0" collapsed="false">
      <c r="A8" s="7" t="s">
        <v>21</v>
      </c>
      <c r="B8" s="5" t="n">
        <v>0.2</v>
      </c>
      <c r="C8" s="8" t="s">
        <v>22</v>
      </c>
      <c r="D8" s="8" t="s">
        <v>23</v>
      </c>
      <c r="E8" s="8" t="s">
        <v>24</v>
      </c>
      <c r="F8" s="8" t="s">
        <v>25</v>
      </c>
    </row>
    <row r="9" customFormat="false" ht="15" hidden="false" customHeight="false" outlineLevel="0" collapsed="false">
      <c r="A9" s="4" t="s">
        <v>26</v>
      </c>
      <c r="B9" s="5" t="n">
        <v>0.1</v>
      </c>
      <c r="C9" s="6" t="s">
        <v>9</v>
      </c>
      <c r="D9" s="6" t="s">
        <v>27</v>
      </c>
      <c r="E9" s="6" t="s">
        <v>28</v>
      </c>
      <c r="F9" s="6" t="s">
        <v>29</v>
      </c>
    </row>
    <row r="10" customFormat="false" ht="23.85" hidden="false" customHeight="false" outlineLevel="0" collapsed="false">
      <c r="A10" s="7" t="s">
        <v>30</v>
      </c>
      <c r="B10" s="5" t="n">
        <v>0.1</v>
      </c>
      <c r="C10" s="8" t="s">
        <v>22</v>
      </c>
      <c r="D10" s="8" t="s">
        <v>31</v>
      </c>
      <c r="E10" s="8" t="s">
        <v>32</v>
      </c>
      <c r="F10" s="8" t="s">
        <v>33</v>
      </c>
    </row>
    <row r="11" customFormat="false" ht="23.85" hidden="false" customHeight="false" outlineLevel="0" collapsed="false">
      <c r="A11" s="4" t="s">
        <v>34</v>
      </c>
      <c r="B11" s="5" t="n">
        <v>0.05</v>
      </c>
      <c r="C11" s="6" t="s">
        <v>22</v>
      </c>
      <c r="D11" s="6" t="s">
        <v>35</v>
      </c>
      <c r="E11" s="6" t="s">
        <v>36</v>
      </c>
      <c r="F11" s="6" t="s">
        <v>37</v>
      </c>
    </row>
    <row r="12" customFormat="false" ht="15" hidden="false" customHeight="false" outlineLevel="0" collapsed="false">
      <c r="A12" s="9" t="s">
        <v>38</v>
      </c>
      <c r="B12" s="10" t="n">
        <f aca="false">SUM(B5:B11)</f>
        <v>1</v>
      </c>
    </row>
    <row r="14" customFormat="false" ht="15" hidden="false" customHeight="false" outlineLevel="0" collapsed="false">
      <c r="A14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7"/>
    <col collapsed="false" customWidth="true" hidden="false" outlineLevel="0" max="6" min="4" style="0" width="12"/>
    <col collapsed="false" customWidth="true" hidden="false" outlineLevel="0" max="7" min="7" style="0" width="13"/>
    <col collapsed="false" customWidth="true" hidden="false" outlineLevel="0" max="11" min="8" style="0" width="12"/>
    <col collapsed="false" customWidth="true" hidden="false" outlineLevel="0" max="13" min="12" style="0" width="8"/>
    <col collapsed="false" customWidth="true" hidden="false" outlineLevel="0" max="14" min="14" style="0" width="20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45.75" hidden="false" customHeight="true" outlineLevel="0" collapsed="false">
      <c r="A4" s="11" t="s">
        <v>42</v>
      </c>
      <c r="B4" s="11" t="s">
        <v>43</v>
      </c>
      <c r="C4" s="11" t="s">
        <v>44</v>
      </c>
      <c r="D4" s="11" t="s">
        <v>8</v>
      </c>
      <c r="E4" s="11" t="s">
        <v>45</v>
      </c>
      <c r="F4" s="11" t="s">
        <v>17</v>
      </c>
      <c r="G4" s="11" t="s">
        <v>46</v>
      </c>
      <c r="H4" s="11" t="s">
        <v>26</v>
      </c>
      <c r="I4" s="11" t="s">
        <v>47</v>
      </c>
      <c r="J4" s="11" t="s">
        <v>48</v>
      </c>
      <c r="K4" s="11" t="s">
        <v>49</v>
      </c>
      <c r="L4" s="11" t="s">
        <v>50</v>
      </c>
      <c r="M4" s="11" t="s">
        <v>21</v>
      </c>
      <c r="N4" s="11" t="s">
        <v>51</v>
      </c>
    </row>
    <row r="5" customFormat="false" ht="15" hidden="false" customHeight="false" outlineLevel="0" collapsed="false">
      <c r="A5" s="12" t="n">
        <v>1</v>
      </c>
      <c r="B5" s="6" t="s">
        <v>52</v>
      </c>
      <c r="C5" s="6" t="s">
        <v>53</v>
      </c>
      <c r="D5" s="13" t="n">
        <v>4</v>
      </c>
      <c r="E5" s="13" t="n">
        <v>5</v>
      </c>
      <c r="F5" s="13" t="n">
        <v>4</v>
      </c>
      <c r="G5" s="13" t="n">
        <v>2</v>
      </c>
      <c r="H5" s="13" t="n">
        <v>4</v>
      </c>
      <c r="I5" s="13" t="n">
        <v>2</v>
      </c>
      <c r="J5" s="13" t="n">
        <v>2</v>
      </c>
      <c r="K5" s="14" t="n">
        <f aca="false">D5*Rubric!$B$5 + E5*Rubric!$B$6 + F5*Rubric!$B$7 + (6-G5)*Rubric!$B$8 + H5*Rubric!$B$9 + (6-I5)*Rubric!$B$10 + (6-J5)*Rubric!$B$11</f>
        <v>4.15</v>
      </c>
      <c r="L5" s="15" t="n">
        <f aca="false">F5</f>
        <v>4</v>
      </c>
      <c r="M5" s="15" t="n">
        <f aca="false">G5</f>
        <v>2</v>
      </c>
      <c r="N5" s="12" t="s">
        <v>54</v>
      </c>
    </row>
    <row r="6" customFormat="false" ht="15" hidden="false" customHeight="false" outlineLevel="0" collapsed="false">
      <c r="A6" s="16" t="n">
        <v>2</v>
      </c>
      <c r="B6" s="8" t="s">
        <v>55</v>
      </c>
      <c r="C6" s="8" t="s">
        <v>53</v>
      </c>
      <c r="D6" s="13" t="n">
        <v>2</v>
      </c>
      <c r="E6" s="13" t="n">
        <v>3</v>
      </c>
      <c r="F6" s="13" t="n">
        <v>5</v>
      </c>
      <c r="G6" s="13" t="n">
        <v>3</v>
      </c>
      <c r="H6" s="13" t="n">
        <v>4</v>
      </c>
      <c r="I6" s="13" t="n">
        <v>2</v>
      </c>
      <c r="J6" s="13" t="n">
        <v>2</v>
      </c>
      <c r="K6" s="14" t="n">
        <f aca="false">D6*Rubric!$B$5 + E6*Rubric!$B$6 + F6*Rubric!$B$7 + (6-G6)*Rubric!$B$8 + H6*Rubric!$B$9 + (6-I6)*Rubric!$B$10 + (6-J6)*Rubric!$B$11</f>
        <v>3.45</v>
      </c>
      <c r="L6" s="15" t="n">
        <f aca="false">F6</f>
        <v>5</v>
      </c>
      <c r="M6" s="15" t="n">
        <f aca="false">G6</f>
        <v>3</v>
      </c>
      <c r="N6" s="12" t="s">
        <v>56</v>
      </c>
    </row>
    <row r="7" customFormat="false" ht="15" hidden="false" customHeight="false" outlineLevel="0" collapsed="false">
      <c r="A7" s="12" t="n">
        <v>3</v>
      </c>
      <c r="B7" s="6" t="s">
        <v>57</v>
      </c>
      <c r="C7" s="6" t="s">
        <v>58</v>
      </c>
      <c r="D7" s="13" t="n">
        <v>3</v>
      </c>
      <c r="E7" s="13" t="n">
        <v>4</v>
      </c>
      <c r="F7" s="13" t="n">
        <v>3</v>
      </c>
      <c r="G7" s="13" t="n">
        <v>2</v>
      </c>
      <c r="H7" s="13" t="n">
        <v>4</v>
      </c>
      <c r="I7" s="13" t="n">
        <v>2</v>
      </c>
      <c r="J7" s="13" t="n">
        <v>3</v>
      </c>
      <c r="K7" s="14" t="n">
        <f aca="false">D7*Rubric!$B$5 + E7*Rubric!$B$6 + F7*Rubric!$B$7 + (6-G7)*Rubric!$B$8 + H7*Rubric!$B$9 + (6-I7)*Rubric!$B$10 + (6-J7)*Rubric!$B$11</f>
        <v>3.55</v>
      </c>
      <c r="L7" s="15" t="n">
        <f aca="false">F7</f>
        <v>3</v>
      </c>
      <c r="M7" s="15" t="n">
        <f aca="false">G7</f>
        <v>2</v>
      </c>
      <c r="N7" s="12" t="s">
        <v>59</v>
      </c>
    </row>
    <row r="8" customFormat="false" ht="15" hidden="false" customHeight="false" outlineLevel="0" collapsed="false">
      <c r="A8" s="16" t="n">
        <v>4</v>
      </c>
      <c r="B8" s="8" t="s">
        <v>60</v>
      </c>
      <c r="C8" s="8" t="s">
        <v>61</v>
      </c>
      <c r="D8" s="13" t="n">
        <v>4</v>
      </c>
      <c r="E8" s="13" t="n">
        <v>4</v>
      </c>
      <c r="F8" s="13" t="n">
        <v>2</v>
      </c>
      <c r="G8" s="13" t="n">
        <v>2</v>
      </c>
      <c r="H8" s="13" t="n">
        <v>5</v>
      </c>
      <c r="I8" s="13" t="n">
        <v>1</v>
      </c>
      <c r="J8" s="13" t="n">
        <v>2</v>
      </c>
      <c r="K8" s="14" t="n">
        <f aca="false">D8*Rubric!$B$5 + E8*Rubric!$B$6 + F8*Rubric!$B$7 + (6-G8)*Rubric!$B$8 + H8*Rubric!$B$9 + (6-I8)*Rubric!$B$10 + (6-J8)*Rubric!$B$11</f>
        <v>3.8</v>
      </c>
      <c r="L8" s="15" t="n">
        <f aca="false">F8</f>
        <v>2</v>
      </c>
      <c r="M8" s="15" t="n">
        <f aca="false">G8</f>
        <v>2</v>
      </c>
      <c r="N8" s="12" t="s">
        <v>59</v>
      </c>
    </row>
    <row r="9" customFormat="false" ht="15" hidden="false" customHeight="false" outlineLevel="0" collapsed="false">
      <c r="A9" s="12" t="n">
        <v>5</v>
      </c>
      <c r="B9" s="6" t="s">
        <v>62</v>
      </c>
      <c r="C9" s="6" t="s">
        <v>53</v>
      </c>
      <c r="D9" s="13" t="n">
        <v>1</v>
      </c>
      <c r="E9" s="13" t="n">
        <v>3</v>
      </c>
      <c r="F9" s="13" t="n">
        <v>4</v>
      </c>
      <c r="G9" s="13" t="n">
        <v>4</v>
      </c>
      <c r="H9" s="13" t="n">
        <v>3</v>
      </c>
      <c r="I9" s="13" t="n">
        <v>4</v>
      </c>
      <c r="J9" s="13" t="n">
        <v>3</v>
      </c>
      <c r="K9" s="14" t="n">
        <f aca="false">D9*Rubric!$B$5 + E9*Rubric!$B$6 + F9*Rubric!$B$7 + (6-G9)*Rubric!$B$8 + H9*Rubric!$B$9 + (6-I9)*Rubric!$B$10 + (6-J9)*Rubric!$B$11</f>
        <v>2.5</v>
      </c>
      <c r="L9" s="15" t="n">
        <f aca="false">F9</f>
        <v>4</v>
      </c>
      <c r="M9" s="15" t="n">
        <f aca="false">G9</f>
        <v>4</v>
      </c>
      <c r="N9" s="12" t="s">
        <v>63</v>
      </c>
    </row>
    <row r="10" customFormat="false" ht="15" hidden="false" customHeight="false" outlineLevel="0" collapsed="false">
      <c r="A10" s="16" t="n">
        <v>6</v>
      </c>
      <c r="B10" s="8" t="s">
        <v>64</v>
      </c>
      <c r="C10" s="8" t="s">
        <v>65</v>
      </c>
      <c r="D10" s="13" t="n">
        <v>3</v>
      </c>
      <c r="E10" s="13" t="n">
        <v>3</v>
      </c>
      <c r="F10" s="13" t="n">
        <v>4</v>
      </c>
      <c r="G10" s="13" t="n">
        <v>4</v>
      </c>
      <c r="H10" s="13" t="n">
        <v>5</v>
      </c>
      <c r="I10" s="13" t="n">
        <v>3</v>
      </c>
      <c r="J10" s="13" t="n">
        <v>3</v>
      </c>
      <c r="K10" s="14" t="n">
        <f aca="false">D10*Rubric!$B$5 + E10*Rubric!$B$6 + F10*Rubric!$B$7 + (6-G10)*Rubric!$B$8 + H10*Rubric!$B$9 + (6-I10)*Rubric!$B$10 + (6-J10)*Rubric!$B$11</f>
        <v>3.2</v>
      </c>
      <c r="L10" s="15" t="n">
        <f aca="false">F10</f>
        <v>4</v>
      </c>
      <c r="M10" s="15" t="n">
        <f aca="false">G10</f>
        <v>4</v>
      </c>
      <c r="N10" s="12" t="s">
        <v>54</v>
      </c>
    </row>
    <row r="11" customFormat="false" ht="15" hidden="false" customHeight="false" outlineLevel="0" collapsed="false">
      <c r="A11" s="12" t="n">
        <v>7</v>
      </c>
      <c r="B11" s="6" t="s">
        <v>66</v>
      </c>
      <c r="C11" s="6" t="s">
        <v>67</v>
      </c>
      <c r="D11" s="13" t="n">
        <v>3</v>
      </c>
      <c r="E11" s="13" t="n">
        <v>5</v>
      </c>
      <c r="F11" s="13" t="n">
        <v>2</v>
      </c>
      <c r="G11" s="13" t="n">
        <v>2</v>
      </c>
      <c r="H11" s="13" t="n">
        <v>5</v>
      </c>
      <c r="I11" s="13" t="n">
        <v>1</v>
      </c>
      <c r="J11" s="13" t="n">
        <v>1</v>
      </c>
      <c r="K11" s="14" t="n">
        <f aca="false">D11*Rubric!$B$5 + E11*Rubric!$B$6 + F11*Rubric!$B$7 + (6-G11)*Rubric!$B$8 + H11*Rubric!$B$9 + (6-I11)*Rubric!$B$10 + (6-J11)*Rubric!$B$11</f>
        <v>3.8</v>
      </c>
      <c r="L11" s="15" t="n">
        <f aca="false">F11</f>
        <v>2</v>
      </c>
      <c r="M11" s="15" t="n">
        <f aca="false">G11</f>
        <v>2</v>
      </c>
      <c r="N11" s="12" t="s">
        <v>59</v>
      </c>
    </row>
    <row r="12" customFormat="false" ht="15" hidden="false" customHeight="false" outlineLevel="0" collapsed="false">
      <c r="A12" s="16" t="n">
        <v>8</v>
      </c>
      <c r="B12" s="8" t="s">
        <v>68</v>
      </c>
      <c r="C12" s="8" t="s">
        <v>69</v>
      </c>
      <c r="D12" s="13" t="n">
        <v>2</v>
      </c>
      <c r="E12" s="13" t="n">
        <v>3</v>
      </c>
      <c r="F12" s="13" t="n">
        <v>3</v>
      </c>
      <c r="G12" s="13" t="n">
        <v>3</v>
      </c>
      <c r="H12" s="13" t="n">
        <v>5</v>
      </c>
      <c r="I12" s="13" t="n">
        <v>3</v>
      </c>
      <c r="J12" s="13" t="n">
        <v>2</v>
      </c>
      <c r="K12" s="14" t="n">
        <f aca="false">D12*Rubric!$B$5 + E12*Rubric!$B$6 + F12*Rubric!$B$7 + (6-G12)*Rubric!$B$8 + H12*Rubric!$B$9 + (6-I12)*Rubric!$B$10 + (6-J12)*Rubric!$B$11</f>
        <v>3.05</v>
      </c>
      <c r="L12" s="15" t="n">
        <f aca="false">F12</f>
        <v>3</v>
      </c>
      <c r="M12" s="15" t="n">
        <f aca="false">G12</f>
        <v>3</v>
      </c>
      <c r="N12" s="12" t="s">
        <v>59</v>
      </c>
    </row>
    <row r="13" customFormat="false" ht="15" hidden="false" customHeight="false" outlineLevel="0" collapsed="false">
      <c r="A13" s="12" t="n">
        <v>9</v>
      </c>
      <c r="B13" s="6" t="s">
        <v>70</v>
      </c>
      <c r="C13" s="6" t="s">
        <v>53</v>
      </c>
      <c r="D13" s="13" t="n">
        <v>1</v>
      </c>
      <c r="E13" s="13" t="n">
        <v>2</v>
      </c>
      <c r="F13" s="13" t="n">
        <v>4</v>
      </c>
      <c r="G13" s="13" t="n">
        <v>5</v>
      </c>
      <c r="H13" s="13" t="n">
        <v>3</v>
      </c>
      <c r="I13" s="13" t="n">
        <v>5</v>
      </c>
      <c r="J13" s="13" t="n">
        <v>3</v>
      </c>
      <c r="K13" s="14" t="n">
        <f aca="false">D13*Rubric!$B$5 + E13*Rubric!$B$6 + F13*Rubric!$B$7 + (6-G13)*Rubric!$B$8 + H13*Rubric!$B$9 + (6-I13)*Rubric!$B$10 + (6-J13)*Rubric!$B$11</f>
        <v>2.05</v>
      </c>
      <c r="L13" s="15" t="n">
        <f aca="false">F13</f>
        <v>4</v>
      </c>
      <c r="M13" s="15" t="n">
        <f aca="false">G13</f>
        <v>5</v>
      </c>
      <c r="N13" s="12" t="s">
        <v>63</v>
      </c>
    </row>
    <row r="14" customFormat="false" ht="15" hidden="false" customHeight="false" outlineLevel="0" collapsed="false">
      <c r="A14" s="16" t="n">
        <v>10</v>
      </c>
      <c r="B14" s="8" t="s">
        <v>71</v>
      </c>
      <c r="C14" s="8" t="s">
        <v>53</v>
      </c>
      <c r="D14" s="13" t="n">
        <v>2</v>
      </c>
      <c r="E14" s="13" t="n">
        <v>4</v>
      </c>
      <c r="F14" s="13" t="n">
        <v>2</v>
      </c>
      <c r="G14" s="13" t="n">
        <v>3</v>
      </c>
      <c r="H14" s="13" t="n">
        <v>4</v>
      </c>
      <c r="I14" s="13" t="n">
        <v>3</v>
      </c>
      <c r="J14" s="13" t="n">
        <v>2</v>
      </c>
      <c r="K14" s="14" t="n">
        <f aca="false">D14*Rubric!$B$5 + E14*Rubric!$B$6 + F14*Rubric!$B$7 + (6-G14)*Rubric!$B$8 + H14*Rubric!$B$9 + (6-I14)*Rubric!$B$10 + (6-J14)*Rubric!$B$11</f>
        <v>2.9</v>
      </c>
      <c r="L14" s="15" t="n">
        <f aca="false">F14</f>
        <v>2</v>
      </c>
      <c r="M14" s="15" t="n">
        <f aca="false">G14</f>
        <v>3</v>
      </c>
      <c r="N14" s="12" t="s">
        <v>59</v>
      </c>
    </row>
    <row r="15" customFormat="false" ht="15" hidden="false" customHeight="false" outlineLevel="0" collapsed="false">
      <c r="A15" s="12" t="n">
        <v>11</v>
      </c>
      <c r="B15" s="6" t="s">
        <v>72</v>
      </c>
      <c r="C15" s="6" t="s">
        <v>73</v>
      </c>
      <c r="D15" s="13" t="n">
        <v>1</v>
      </c>
      <c r="E15" s="13" t="n">
        <v>2</v>
      </c>
      <c r="F15" s="13" t="n">
        <v>5</v>
      </c>
      <c r="G15" s="13" t="n">
        <v>5</v>
      </c>
      <c r="H15" s="13" t="n">
        <v>1</v>
      </c>
      <c r="I15" s="13" t="n">
        <v>5</v>
      </c>
      <c r="J15" s="13" t="n">
        <v>5</v>
      </c>
      <c r="K15" s="14" t="n">
        <f aca="false">D15*Rubric!$B$5 + E15*Rubric!$B$6 + F15*Rubric!$B$7 + (6-G15)*Rubric!$B$8 + H15*Rubric!$B$9 + (6-I15)*Rubric!$B$10 + (6-J15)*Rubric!$B$11</f>
        <v>1.95</v>
      </c>
      <c r="L15" s="15" t="n">
        <f aca="false">F15</f>
        <v>5</v>
      </c>
      <c r="M15" s="15" t="n">
        <f aca="false">G15</f>
        <v>5</v>
      </c>
      <c r="N15" s="12" t="s">
        <v>74</v>
      </c>
    </row>
    <row r="16" customFormat="false" ht="15" hidden="false" customHeight="false" outlineLevel="0" collapsed="false">
      <c r="A16" s="16" t="n">
        <v>12</v>
      </c>
      <c r="B16" s="8" t="s">
        <v>75</v>
      </c>
      <c r="C16" s="8" t="s">
        <v>76</v>
      </c>
      <c r="D16" s="13" t="n">
        <v>2</v>
      </c>
      <c r="E16" s="13" t="n">
        <v>3</v>
      </c>
      <c r="F16" s="13" t="n">
        <v>3</v>
      </c>
      <c r="G16" s="13" t="n">
        <v>4</v>
      </c>
      <c r="H16" s="13" t="n">
        <v>2</v>
      </c>
      <c r="I16" s="13" t="n">
        <v>5</v>
      </c>
      <c r="J16" s="13" t="n">
        <v>3</v>
      </c>
      <c r="K16" s="14" t="n">
        <f aca="false">D16*Rubric!$B$5 + E16*Rubric!$B$6 + F16*Rubric!$B$7 + (6-G16)*Rubric!$B$8 + H16*Rubric!$B$9 + (6-I16)*Rubric!$B$10 + (6-J16)*Rubric!$B$11</f>
        <v>2.3</v>
      </c>
      <c r="L16" s="15" t="n">
        <f aca="false">F16</f>
        <v>3</v>
      </c>
      <c r="M16" s="15" t="n">
        <f aca="false">G16</f>
        <v>4</v>
      </c>
      <c r="N16" s="12" t="s">
        <v>74</v>
      </c>
    </row>
    <row r="18" customFormat="false" ht="15" hidden="false" customHeight="false" outlineLevel="0" collapsed="false">
      <c r="A18" s="9" t="s">
        <v>77</v>
      </c>
    </row>
    <row r="19" customFormat="false" ht="15" hidden="false" customHeight="false" outlineLevel="0" collapsed="false">
      <c r="A19" s="17" t="s">
        <v>78</v>
      </c>
      <c r="C19" s="17" t="n">
        <f aca="false">COUNTA(A5:A16)</f>
        <v>12</v>
      </c>
    </row>
    <row r="20" customFormat="false" ht="15" hidden="false" customHeight="false" outlineLevel="0" collapsed="false">
      <c r="A20" s="17" t="s">
        <v>79</v>
      </c>
      <c r="C20" s="17" t="n">
        <f aca="false">COUNTIF(N5:N16,"BUILD*")</f>
        <v>3</v>
      </c>
    </row>
    <row r="21" customFormat="false" ht="15" hidden="false" customHeight="false" outlineLevel="0" collapsed="false">
      <c r="A21" s="17" t="s">
        <v>80</v>
      </c>
      <c r="C21" s="17" t="n">
        <f aca="false">COUNTIF(N5:N16,"Defer")</f>
        <v>5</v>
      </c>
    </row>
    <row r="22" customFormat="false" ht="15" hidden="false" customHeight="false" outlineLevel="0" collapsed="false">
      <c r="A22" s="17" t="s">
        <v>63</v>
      </c>
      <c r="C22" s="17" t="n">
        <f aca="false">COUNTIF(N5:N16,"*not build")</f>
        <v>4</v>
      </c>
    </row>
    <row r="23" customFormat="false" ht="15" hidden="false" customHeight="false" outlineLevel="0" collapsed="false">
      <c r="A23" s="17" t="s">
        <v>81</v>
      </c>
      <c r="C23" s="18" t="n">
        <f aca="false">MAX(K5:K16)</f>
        <v>4.15</v>
      </c>
    </row>
    <row r="24" customFormat="false" ht="15" hidden="false" customHeight="false" outlineLevel="0" collapsed="false">
      <c r="A24" s="17" t="s">
        <v>82</v>
      </c>
      <c r="C24" s="18" t="n">
        <f aca="false">AVERAGE(K5:K16)</f>
        <v>3.05833333333333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15" hidden="false" customHeight="false" outlineLevel="0" collapsed="false">
      <c r="A4" s="19" t="s">
        <v>42</v>
      </c>
      <c r="B4" s="19" t="s">
        <v>50</v>
      </c>
      <c r="C4" s="19" t="s">
        <v>21</v>
      </c>
      <c r="D4" s="19" t="s">
        <v>85</v>
      </c>
    </row>
    <row r="5" customFormat="false" ht="15" hidden="false" customHeight="false" outlineLevel="0" collapsed="false">
      <c r="A5" s="20" t="n">
        <v>1</v>
      </c>
      <c r="B5" s="20" t="n">
        <f aca="false">Scoring!F5</f>
        <v>4</v>
      </c>
      <c r="C5" s="20" t="n">
        <f aca="false">Scoring!G5</f>
        <v>2</v>
      </c>
      <c r="D5" s="20" t="s">
        <v>52</v>
      </c>
    </row>
    <row r="6" customFormat="false" ht="15" hidden="false" customHeight="false" outlineLevel="0" collapsed="false">
      <c r="A6" s="20" t="n">
        <v>2</v>
      </c>
      <c r="B6" s="20" t="n">
        <f aca="false">Scoring!F6</f>
        <v>5</v>
      </c>
      <c r="C6" s="20" t="n">
        <f aca="false">Scoring!G6</f>
        <v>3</v>
      </c>
      <c r="D6" s="20" t="s">
        <v>55</v>
      </c>
    </row>
    <row r="7" customFormat="false" ht="15" hidden="false" customHeight="false" outlineLevel="0" collapsed="false">
      <c r="A7" s="20" t="n">
        <v>3</v>
      </c>
      <c r="B7" s="20" t="n">
        <f aca="false">Scoring!F7</f>
        <v>3</v>
      </c>
      <c r="C7" s="20" t="n">
        <f aca="false">Scoring!G7</f>
        <v>2</v>
      </c>
      <c r="D7" s="20" t="s">
        <v>57</v>
      </c>
    </row>
    <row r="8" customFormat="false" ht="15" hidden="false" customHeight="false" outlineLevel="0" collapsed="false">
      <c r="A8" s="20" t="n">
        <v>4</v>
      </c>
      <c r="B8" s="20" t="n">
        <f aca="false">Scoring!F8</f>
        <v>2</v>
      </c>
      <c r="C8" s="20" t="n">
        <f aca="false">Scoring!G8</f>
        <v>2</v>
      </c>
      <c r="D8" s="20" t="s">
        <v>60</v>
      </c>
    </row>
    <row r="9" customFormat="false" ht="15" hidden="false" customHeight="false" outlineLevel="0" collapsed="false">
      <c r="A9" s="20" t="n">
        <v>5</v>
      </c>
      <c r="B9" s="20" t="n">
        <f aca="false">Scoring!F9</f>
        <v>4</v>
      </c>
      <c r="C9" s="20" t="n">
        <f aca="false">Scoring!G9</f>
        <v>4</v>
      </c>
      <c r="D9" s="20" t="s">
        <v>62</v>
      </c>
    </row>
    <row r="10" customFormat="false" ht="15" hidden="false" customHeight="false" outlineLevel="0" collapsed="false">
      <c r="A10" s="20" t="n">
        <v>6</v>
      </c>
      <c r="B10" s="20" t="n">
        <f aca="false">Scoring!F10</f>
        <v>4</v>
      </c>
      <c r="C10" s="20" t="n">
        <f aca="false">Scoring!G10</f>
        <v>4</v>
      </c>
      <c r="D10" s="20" t="s">
        <v>64</v>
      </c>
    </row>
    <row r="11" customFormat="false" ht="15" hidden="false" customHeight="false" outlineLevel="0" collapsed="false">
      <c r="A11" s="20" t="n">
        <v>7</v>
      </c>
      <c r="B11" s="20" t="n">
        <f aca="false">Scoring!F11</f>
        <v>2</v>
      </c>
      <c r="C11" s="20" t="n">
        <f aca="false">Scoring!G11</f>
        <v>2</v>
      </c>
      <c r="D11" s="20" t="s">
        <v>66</v>
      </c>
    </row>
    <row r="12" customFormat="false" ht="15" hidden="false" customHeight="false" outlineLevel="0" collapsed="false">
      <c r="A12" s="20" t="n">
        <v>8</v>
      </c>
      <c r="B12" s="20" t="n">
        <f aca="false">Scoring!F12</f>
        <v>3</v>
      </c>
      <c r="C12" s="20" t="n">
        <f aca="false">Scoring!G12</f>
        <v>3</v>
      </c>
      <c r="D12" s="20" t="s">
        <v>68</v>
      </c>
    </row>
    <row r="13" customFormat="false" ht="15" hidden="false" customHeight="false" outlineLevel="0" collapsed="false">
      <c r="A13" s="20" t="n">
        <v>9</v>
      </c>
      <c r="B13" s="20" t="n">
        <f aca="false">Scoring!F13</f>
        <v>4</v>
      </c>
      <c r="C13" s="20" t="n">
        <f aca="false">Scoring!G13</f>
        <v>5</v>
      </c>
      <c r="D13" s="20" t="s">
        <v>70</v>
      </c>
    </row>
    <row r="14" customFormat="false" ht="15" hidden="false" customHeight="false" outlineLevel="0" collapsed="false">
      <c r="A14" s="20" t="n">
        <v>10</v>
      </c>
      <c r="B14" s="20" t="n">
        <f aca="false">Scoring!F14</f>
        <v>2</v>
      </c>
      <c r="C14" s="20" t="n">
        <f aca="false">Scoring!G14</f>
        <v>3</v>
      </c>
      <c r="D14" s="20" t="s">
        <v>71</v>
      </c>
    </row>
    <row r="15" customFormat="false" ht="15" hidden="false" customHeight="false" outlineLevel="0" collapsed="false">
      <c r="A15" s="20" t="n">
        <v>11</v>
      </c>
      <c r="B15" s="20" t="n">
        <f aca="false">Scoring!F15</f>
        <v>5</v>
      </c>
      <c r="C15" s="20" t="n">
        <f aca="false">Scoring!G15</f>
        <v>5</v>
      </c>
      <c r="D15" s="20" t="s">
        <v>72</v>
      </c>
    </row>
    <row r="16" customFormat="false" ht="15" hidden="false" customHeight="false" outlineLevel="0" collapsed="false">
      <c r="A16" s="20" t="n">
        <v>12</v>
      </c>
      <c r="B16" s="20" t="n">
        <f aca="false">Scoring!F16</f>
        <v>3</v>
      </c>
      <c r="C16" s="20" t="n">
        <f aca="false">Scoring!G16</f>
        <v>4</v>
      </c>
      <c r="D16" s="2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2026-08-05T03:02:07Z</dcterms:created>
  <dc:creator>openpyxl</dc:creator>
  <dc:description/>
  <dc:language>en-US</dc:language>
  <cp:lastModifiedBy/>
  <dcterms:modified xsi:type="dcterms:W3CDTF">2026-08-05T03:02:10Z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