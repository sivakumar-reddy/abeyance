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UA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<sst xmlns="http://schemas.openxmlformats.org/spreadsheetml/2006/main" count="205" uniqueCount="155">
  <si>
    <t xml:space="preserve">Requirements Traceability Matrix</t>
  </si>
  <si>
    <t xml:space="preserve">Automated issue triage, consumer credit-reporting complaints  ·  BRD v1.0  ·  every requirement traced to the finding that produced it and the test that verifies it</t>
  </si>
  <si>
    <t xml:space="preserve">Req ID</t>
  </si>
  <si>
    <t xml:space="preserve">Requirement</t>
  </si>
  <si>
    <t xml:space="preserve">Priority</t>
  </si>
  <si>
    <t xml:space="preserve">Objective</t>
  </si>
  <si>
    <t xml:space="preserve">Source finding</t>
  </si>
  <si>
    <t xml:space="preserve">Evidence</t>
  </si>
  <si>
    <t xml:space="preserve">Design element</t>
  </si>
  <si>
    <t xml:space="preserve">Test case</t>
  </si>
  <si>
    <t xml:space="preserve">Status</t>
  </si>
  <si>
    <t xml:space="preserve">REQ-1</t>
  </si>
  <si>
    <t xml:space="preserve">Determine primary grievance via the counterfactual test</t>
  </si>
  <si>
    <t xml:space="preserve">Must</t>
  </si>
  <si>
    <t xml:space="preserve">OBJ-1</t>
  </si>
  <si>
    <t xml:space="preserve">06_annotation_guideline.md §2</t>
  </si>
  <si>
    <t xml:space="preserve">Rule derived from 38 boundary cases</t>
  </si>
  <si>
    <t xml:space="preserve">Classification prompt / rule engine</t>
  </si>
  <si>
    <t xml:space="preserve">UAT-01</t>
  </si>
  <si>
    <t xml:space="preserve">Specified</t>
  </si>
  <si>
    <t xml:space="preserve">REQ-2</t>
  </si>
  <si>
    <t xml:space="preserve">Do not train or score against intake issue labels</t>
  </si>
  <si>
    <t xml:space="preserve">OBJ-3</t>
  </si>
  <si>
    <t xml:space="preserve">10_findings.md §2</t>
  </si>
  <si>
    <t xml:space="preserve">46.0% agreement with expert reading</t>
  </si>
  <si>
    <t xml:space="preserve">Training data policy</t>
  </si>
  <si>
    <t xml:space="preserve">UAT-02</t>
  </si>
  <si>
    <t xml:space="preserve">REQ-3</t>
  </si>
  <si>
    <t xml:space="preserve">Classify into three categories only, not 89</t>
  </si>
  <si>
    <t xml:space="preserve">10_findings.md §1</t>
  </si>
  <si>
    <t xml:space="preserve">14 of 89 issues have sample support; 9 at n=1</t>
  </si>
  <si>
    <t xml:space="preserve">Label schema</t>
  </si>
  <si>
    <t xml:space="preserve">UAT-03</t>
  </si>
  <si>
    <t xml:space="preserve">REQ-4</t>
  </si>
  <si>
    <t xml:space="preserve">Withhold routing where a documented ambiguity pattern is present</t>
  </si>
  <si>
    <t xml:space="preserve">OBJ-2</t>
  </si>
  <si>
    <t xml:space="preserve">06_annotation_guideline.md §3</t>
  </si>
  <si>
    <t xml:space="preserve">16 of 100 cases judged unresolvable</t>
  </si>
  <si>
    <t xml:space="preserve">Abstention rule set</t>
  </si>
  <si>
    <t xml:space="preserve">UAT-04</t>
  </si>
  <si>
    <t xml:space="preserve">REQ-5</t>
  </si>
  <si>
    <t xml:space="preserve">Abstention decided by rule, not model confidence</t>
  </si>
  <si>
    <t xml:space="preserve">10_findings.md §5.2</t>
  </si>
  <si>
    <t xml:space="preserve">Abstention gap 7.3 pts vs run-to-run range 12.5 pts</t>
  </si>
  <si>
    <t xml:space="preserve">UAT-05</t>
  </si>
  <si>
    <t xml:space="preserve">REQ-6</t>
  </si>
  <si>
    <t xml:space="preserve">Record which defect, if removed, ends the complaint</t>
  </si>
  <si>
    <t xml:space="preserve">OBJ-4</t>
  </si>
  <si>
    <t xml:space="preserve">BRD §3 OBJ-4</t>
  </si>
  <si>
    <t xml:space="preserve">Auditability requirement</t>
  </si>
  <si>
    <t xml:space="preserve">Decision log schema</t>
  </si>
  <si>
    <t xml:space="preserve">UAT-06</t>
  </si>
  <si>
    <t xml:space="preserve">REQ-7</t>
  </si>
  <si>
    <t xml:space="preserve">Route narrative-less complaints on intake tag, flagged unverified</t>
  </si>
  <si>
    <t xml:space="preserve">Should</t>
  </si>
  <si>
    <t xml:space="preserve">77.3% of complaints have no narrative</t>
  </si>
  <si>
    <t xml:space="preserve">Routing fallback path</t>
  </si>
  <si>
    <t xml:space="preserve">UAT-07</t>
  </si>
  <si>
    <t xml:space="preserve">REQ-8</t>
  </si>
  <si>
    <t xml:space="preserve">Human review queue shows both candidate labels and the reason</t>
  </si>
  <si>
    <t xml:space="preserve">BRD §6</t>
  </si>
  <si>
    <t xml:space="preserve">Derived from REQ-4</t>
  </si>
  <si>
    <t xml:space="preserve">Review queue UI</t>
  </si>
  <si>
    <t xml:space="preserve">UAT-08</t>
  </si>
  <si>
    <t xml:space="preserve">REQ-9</t>
  </si>
  <si>
    <t xml:space="preserve">Retain intake tag unchanged for historical reporting</t>
  </si>
  <si>
    <t xml:space="preserve">Stakeholder continuity</t>
  </si>
  <si>
    <t xml:space="preserve">Data retention policy</t>
  </si>
  <si>
    <t xml:space="preserve">UAT-09</t>
  </si>
  <si>
    <t xml:space="preserve">REQ-10</t>
  </si>
  <si>
    <t xml:space="preserve">Report performance as a range across &gt;=3 independent runs</t>
  </si>
  <si>
    <t xml:space="preserve">11_variance.md</t>
  </si>
  <si>
    <t xml:space="preserve">Macro-F1 range 0.046; abstention range 12.5 pts</t>
  </si>
  <si>
    <t xml:space="preserve">Evaluation protocol</t>
  </si>
  <si>
    <t xml:space="preserve">UAT-10</t>
  </si>
  <si>
    <t xml:space="preserve">Coverage</t>
  </si>
  <si>
    <t xml:space="preserve">Total requirements</t>
  </si>
  <si>
    <t xml:space="preserve">Must-have</t>
  </si>
  <si>
    <t xml:space="preserve">With a linked test case</t>
  </si>
  <si>
    <t xml:space="preserve">Traceability coverage</t>
  </si>
  <si>
    <t xml:space="preserve">Status values: Specified / In development / Verified / Deferred</t>
  </si>
  <si>
    <t xml:space="preserve">User Acceptance Test Cases</t>
  </si>
  <si>
    <t xml:space="preserve">Yellow cells are filled in during execution. Every acceptance criterion is stated as a threshold that can be measured, not as a judgement.</t>
  </si>
  <si>
    <t xml:space="preserve">Test ID</t>
  </si>
  <si>
    <t xml:space="preserve">Scenario</t>
  </si>
  <si>
    <t xml:space="preserve">Preconditions</t>
  </si>
  <si>
    <t xml:space="preserve">Steps</t>
  </si>
  <si>
    <t xml:space="preserve">Expected result</t>
  </si>
  <si>
    <t xml:space="preserve">Acceptance criterion</t>
  </si>
  <si>
    <t xml:space="preserve">Actual result</t>
  </si>
  <si>
    <t xml:space="preserve">Pass/Fail</t>
  </si>
  <si>
    <t xml:space="preserve">Tester</t>
  </si>
  <si>
    <t xml:space="preserve">Date</t>
  </si>
  <si>
    <t xml:space="preserve">Counterfactual test applied to a clearly separable complaint</t>
  </si>
  <si>
    <t xml:space="preserve">Golden set case with separable=YES loaded</t>
  </si>
  <si>
    <t xml:space="preserve">1. Submit narrative  2. Read returned grievance and reason</t>
  </si>
  <si>
    <t xml:space="preserve">System returns one of the three categories with the defect named</t>
  </si>
  <si>
    <t xml:space="preserve">Matches the hand label on &gt;=80% of separable cases, across 3 runs</t>
  </si>
  <si>
    <t xml:space="preserve">Intake label excluded from training and scoring</t>
  </si>
  <si>
    <t xml:space="preserve">Training config and evaluation harness available</t>
  </si>
  <si>
    <t xml:space="preserve">1. Inspect training inputs  2. Inspect scoring target</t>
  </si>
  <si>
    <t xml:space="preserve">Intake issue field appears in neither</t>
  </si>
  <si>
    <t xml:space="preserve">Zero references to the intake issue column in either path</t>
  </si>
  <si>
    <t xml:space="preserve">Label schema restricted to three categories</t>
  </si>
  <si>
    <t xml:space="preserve">System deployed</t>
  </si>
  <si>
    <t xml:space="preserve">1. Submit 20 varied narratives  2. Collect all returned labels</t>
  </si>
  <si>
    <t xml:space="preserve">Only the three categories plus ABSTAIN are ever returned</t>
  </si>
  <si>
    <t xml:space="preserve">No output outside the four permitted values</t>
  </si>
  <si>
    <t xml:space="preserve">Ambiguity patterns trigger human review</t>
  </si>
  <si>
    <t xml:space="preserve">16 guideline-ABSTAIN cases loaded</t>
  </si>
  <si>
    <t xml:space="preserve">1. Submit each  2. Record routing decision</t>
  </si>
  <si>
    <t xml:space="preserve">Each is withheld and sent to human review</t>
  </si>
  <si>
    <t xml:space="preserve">&gt;=90% of the 16 withheld; no more than 15% of separable cases withheld</t>
  </si>
  <si>
    <t xml:space="preserve">Abstention driven by rule, not model confidence</t>
  </si>
  <si>
    <t xml:space="preserve">System deployed with logging on</t>
  </si>
  <si>
    <t xml:space="preserve">1. Submit a case matching pattern A  2. Inspect the abstention reason logged</t>
  </si>
  <si>
    <t xml:space="preserve">Reason names the matched pattern, not a confidence score</t>
  </si>
  <si>
    <t xml:space="preserve">100% of abstentions cite a named pattern</t>
  </si>
  <si>
    <t xml:space="preserve">Decision reason recorded for every routing</t>
  </si>
  <si>
    <t xml:space="preserve">1. Submit 20 narratives  2. Query the decision log</t>
  </si>
  <si>
    <t xml:space="preserve">Every record carries the counterfactual statement</t>
  </si>
  <si>
    <t xml:space="preserve">100% of records populated; zero nulls</t>
  </si>
  <si>
    <t xml:space="preserve">Narrative-less complaint falls back to intake tag</t>
  </si>
  <si>
    <t xml:space="preserve">Complaint with empty narrative field</t>
  </si>
  <si>
    <t xml:space="preserve">1. Submit  2. Inspect routing and flag</t>
  </si>
  <si>
    <t xml:space="preserve">Routed on intake tag and flagged unverified</t>
  </si>
  <si>
    <t xml:space="preserve">Routing matches intake tag; unverified flag set</t>
  </si>
  <si>
    <t xml:space="preserve">Review queue presents both candidates</t>
  </si>
  <si>
    <t xml:space="preserve">A withheld case in the review queue</t>
  </si>
  <si>
    <t xml:space="preserve">1. Open the queue item  2. Inspect displayed content</t>
  </si>
  <si>
    <t xml:space="preserve">Both candidate labels and the decline reason are visible</t>
  </si>
  <si>
    <t xml:space="preserve">Both labels and reason present on 100% of queue items</t>
  </si>
  <si>
    <t xml:space="preserve">Intake tag preserved unchanged</t>
  </si>
  <si>
    <t xml:space="preserve">Complaint processed end to end</t>
  </si>
  <si>
    <t xml:space="preserve">1. Record intake tag pre-processing  2. Compare post-processing</t>
  </si>
  <si>
    <t xml:space="preserve">Intake tag is byte-identical</t>
  </si>
  <si>
    <t xml:space="preserve">Zero modifications across 100 sampled records</t>
  </si>
  <si>
    <t xml:space="preserve">Performance reported as a range</t>
  </si>
  <si>
    <t xml:space="preserve">Evaluation harness available</t>
  </si>
  <si>
    <t xml:space="preserve">1. Run evaluation 3 times  2. Inspect the report</t>
  </si>
  <si>
    <t xml:space="preserve">Report shows min, max and range per metric</t>
  </si>
  <si>
    <t xml:space="preserve">No single-run point estimate published without its range</t>
  </si>
  <si>
    <t xml:space="preserve">Example of a completed row</t>
  </si>
  <si>
    <t xml:space="preserve">(see above)</t>
  </si>
  <si>
    <t xml:space="preserve">81/83 separable cases matched, 3-run range 78-84%</t>
  </si>
  <si>
    <t xml:space="preserve">Pass</t>
  </si>
  <si>
    <t xml:space="preserve">S. Yenna</t>
  </si>
  <si>
    <t xml:space="preserve">2026-08-11</t>
  </si>
  <si>
    <t xml:space="preserve">Results</t>
  </si>
  <si>
    <t xml:space="preserve">Test cases</t>
  </si>
  <si>
    <t xml:space="preserve">Passed</t>
  </si>
  <si>
    <t xml:space="preserve">Failed</t>
  </si>
  <si>
    <t xml:space="preserve">Not yet executed</t>
  </si>
  <si>
    <t xml:space="preserve">Pass rate</t>
  </si>
  <si>
    <t xml:space="preserve">Note: UAT-01 and UAT-04 thresholds are provisional. They cannot be finalised until the blind re-label establishes intra-rater reliability (BRD §9, condition 1).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</si>
</sst>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customFormat="false" ht="15" hidden="false" customHeight="false" outlineLevel="0" collapsed="false">
      <c r="A6" s="6" t="s">
        <v>20</v>
      </c>
      <c r="B6" s="7" t="s">
        <v>21</v>
      </c>
      <c r="C6" s="7" t="s">
        <v>13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  <c r="I6" s="7" t="s">
        <v>19</v>
      </c>
    </row>
    <row r="7" customFormat="false" ht="15" hidden="false" customHeight="false" outlineLevel="0" collapsed="false">
      <c r="A7" s="4" t="s">
        <v>27</v>
      </c>
      <c r="B7" s="5" t="s">
        <v>28</v>
      </c>
      <c r="C7" s="5" t="s">
        <v>13</v>
      </c>
      <c r="D7" s="5" t="s">
        <v>14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19</v>
      </c>
    </row>
    <row r="8" customFormat="false" ht="23.85" hidden="false" customHeight="false" outlineLevel="0" collapsed="false">
      <c r="A8" s="6" t="s">
        <v>33</v>
      </c>
      <c r="B8" s="7" t="s">
        <v>34</v>
      </c>
      <c r="C8" s="7" t="s">
        <v>13</v>
      </c>
      <c r="D8" s="7" t="s">
        <v>35</v>
      </c>
      <c r="E8" s="7" t="s">
        <v>36</v>
      </c>
      <c r="F8" s="7" t="s">
        <v>37</v>
      </c>
      <c r="G8" s="7" t="s">
        <v>38</v>
      </c>
      <c r="H8" s="7" t="s">
        <v>39</v>
      </c>
      <c r="I8" s="7" t="s">
        <v>19</v>
      </c>
    </row>
    <row r="9" customFormat="false" ht="23.85" hidden="false" customHeight="false" outlineLevel="0" collapsed="false">
      <c r="A9" s="4" t="s">
        <v>40</v>
      </c>
      <c r="B9" s="5" t="s">
        <v>41</v>
      </c>
      <c r="C9" s="5" t="s">
        <v>13</v>
      </c>
      <c r="D9" s="5" t="s">
        <v>35</v>
      </c>
      <c r="E9" s="5" t="s">
        <v>42</v>
      </c>
      <c r="F9" s="5" t="s">
        <v>43</v>
      </c>
      <c r="G9" s="5" t="s">
        <v>38</v>
      </c>
      <c r="H9" s="5" t="s">
        <v>44</v>
      </c>
      <c r="I9" s="5" t="s">
        <v>19</v>
      </c>
    </row>
    <row r="10" customFormat="false" ht="15" hidden="false" customHeight="false" outlineLevel="0" collapsed="false">
      <c r="A10" s="6" t="s">
        <v>45</v>
      </c>
      <c r="B10" s="7" t="s">
        <v>46</v>
      </c>
      <c r="C10" s="7" t="s">
        <v>13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19</v>
      </c>
    </row>
    <row r="11" customFormat="false" ht="23.85" hidden="false" customHeight="false" outlineLevel="0" collapsed="false">
      <c r="A11" s="4" t="s">
        <v>52</v>
      </c>
      <c r="B11" s="5" t="s">
        <v>53</v>
      </c>
      <c r="C11" s="5" t="s">
        <v>54</v>
      </c>
      <c r="D11" s="5" t="s">
        <v>14</v>
      </c>
      <c r="E11" s="5" t="s">
        <v>29</v>
      </c>
      <c r="F11" s="5" t="s">
        <v>55</v>
      </c>
      <c r="G11" s="5" t="s">
        <v>56</v>
      </c>
      <c r="H11" s="5" t="s">
        <v>57</v>
      </c>
      <c r="I11" s="5" t="s">
        <v>19</v>
      </c>
    </row>
    <row r="12" customFormat="false" ht="23.85" hidden="false" customHeight="false" outlineLevel="0" collapsed="false">
      <c r="A12" s="6" t="s">
        <v>58</v>
      </c>
      <c r="B12" s="7" t="s">
        <v>59</v>
      </c>
      <c r="C12" s="7" t="s">
        <v>54</v>
      </c>
      <c r="D12" s="7" t="s">
        <v>35</v>
      </c>
      <c r="E12" s="7" t="s">
        <v>60</v>
      </c>
      <c r="F12" s="7" t="s">
        <v>61</v>
      </c>
      <c r="G12" s="7" t="s">
        <v>62</v>
      </c>
      <c r="H12" s="7" t="s">
        <v>63</v>
      </c>
      <c r="I12" s="7" t="s">
        <v>19</v>
      </c>
    </row>
    <row r="13" customFormat="false" ht="15" hidden="false" customHeight="false" outlineLevel="0" collapsed="false">
      <c r="A13" s="4" t="s">
        <v>64</v>
      </c>
      <c r="B13" s="5" t="s">
        <v>65</v>
      </c>
      <c r="C13" s="5" t="s">
        <v>54</v>
      </c>
      <c r="D13" s="5" t="s">
        <v>22</v>
      </c>
      <c r="E13" s="5" t="s">
        <v>60</v>
      </c>
      <c r="F13" s="5" t="s">
        <v>66</v>
      </c>
      <c r="G13" s="5" t="s">
        <v>67</v>
      </c>
      <c r="H13" s="5" t="s">
        <v>68</v>
      </c>
      <c r="I13" s="5" t="s">
        <v>19</v>
      </c>
    </row>
    <row r="14" customFormat="false" ht="23.85" hidden="false" customHeight="false" outlineLevel="0" collapsed="false">
      <c r="A14" s="6" t="s">
        <v>69</v>
      </c>
      <c r="B14" s="7" t="s">
        <v>70</v>
      </c>
      <c r="C14" s="7" t="s">
        <v>13</v>
      </c>
      <c r="D14" s="7" t="s">
        <v>47</v>
      </c>
      <c r="E14" s="7" t="s">
        <v>71</v>
      </c>
      <c r="F14" s="7" t="s">
        <v>72</v>
      </c>
      <c r="G14" s="7" t="s">
        <v>73</v>
      </c>
      <c r="H14" s="7" t="s">
        <v>74</v>
      </c>
      <c r="I14" s="7" t="s">
        <v>19</v>
      </c>
    </row>
    <row r="16" customFormat="false" ht="15" hidden="false" customHeight="false" outlineLevel="0" collapsed="false">
      <c r="A16" s="8" t="s">
        <v>75</v>
      </c>
    </row>
    <row r="17" customFormat="false" ht="15" hidden="false" customHeight="false" outlineLevel="0" collapsed="false">
      <c r="A17" s="9" t="s">
        <v>76</v>
      </c>
      <c r="B17" s="9" t="n">
        <f aca="false">COUNTA(A5:A14)</f>
        <v>10</v>
      </c>
    </row>
    <row r="18" customFormat="false" ht="15" hidden="false" customHeight="false" outlineLevel="0" collapsed="false">
      <c r="A18" s="9" t="s">
        <v>77</v>
      </c>
      <c r="B18" s="9" t="n">
        <f aca="false">COUNTIF(C5:C14,"Must")</f>
        <v>7</v>
      </c>
    </row>
    <row r="19" customFormat="false" ht="15" hidden="false" customHeight="false" outlineLevel="0" collapsed="false">
      <c r="A19" s="9" t="s">
        <v>78</v>
      </c>
      <c r="B19" s="9" t="n">
        <f aca="false">COUNTIF(H5:H14,"UAT-*")</f>
        <v>10</v>
      </c>
    </row>
    <row r="20" customFormat="false" ht="15" hidden="false" customHeight="false" outlineLevel="0" collapsed="false">
      <c r="A20" s="9" t="s">
        <v>79</v>
      </c>
      <c r="B20" s="10" t="n">
        <f aca="false">IFERROR(B19/B17,0)</f>
        <v>1</v>
      </c>
    </row>
    <row r="22" customFormat="false" ht="15" hidden="false" customHeight="false" outlineLevel="0" collapsed="false">
      <c r="A22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34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12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30" hidden="false" customHeight="true" outlineLevel="0" collapsed="false">
      <c r="A4" s="3" t="s">
        <v>83</v>
      </c>
      <c r="B4" s="3" t="s">
        <v>2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</row>
    <row r="5" customFormat="false" ht="23.85" hidden="false" customHeight="false" outlineLevel="0" collapsed="false">
      <c r="A5" s="4" t="s">
        <v>18</v>
      </c>
      <c r="B5" s="5" t="s">
        <v>11</v>
      </c>
      <c r="C5" s="5" t="s">
        <v>93</v>
      </c>
      <c r="D5" s="5" t="s">
        <v>94</v>
      </c>
      <c r="E5" s="5" t="s">
        <v>95</v>
      </c>
      <c r="F5" s="5" t="s">
        <v>96</v>
      </c>
      <c r="G5" s="5" t="s">
        <v>97</v>
      </c>
      <c r="H5" s="11"/>
      <c r="I5" s="11"/>
      <c r="J5" s="11"/>
      <c r="K5" s="11"/>
    </row>
    <row r="6" customFormat="false" ht="23.85" hidden="false" customHeight="false" outlineLevel="0" collapsed="false">
      <c r="A6" s="6" t="s">
        <v>26</v>
      </c>
      <c r="B6" s="7" t="s">
        <v>20</v>
      </c>
      <c r="C6" s="7" t="s">
        <v>98</v>
      </c>
      <c r="D6" s="7" t="s">
        <v>99</v>
      </c>
      <c r="E6" s="7" t="s">
        <v>100</v>
      </c>
      <c r="F6" s="7" t="s">
        <v>101</v>
      </c>
      <c r="G6" s="7" t="s">
        <v>102</v>
      </c>
      <c r="H6" s="11"/>
      <c r="I6" s="11"/>
      <c r="J6" s="11"/>
      <c r="K6" s="11"/>
    </row>
    <row r="7" customFormat="false" ht="23.85" hidden="false" customHeight="false" outlineLevel="0" collapsed="false">
      <c r="A7" s="4" t="s">
        <v>32</v>
      </c>
      <c r="B7" s="5" t="s">
        <v>27</v>
      </c>
      <c r="C7" s="5" t="s">
        <v>103</v>
      </c>
      <c r="D7" s="5" t="s">
        <v>104</v>
      </c>
      <c r="E7" s="5" t="s">
        <v>105</v>
      </c>
      <c r="F7" s="5" t="s">
        <v>106</v>
      </c>
      <c r="G7" s="5" t="s">
        <v>107</v>
      </c>
      <c r="H7" s="11"/>
      <c r="I7" s="11"/>
      <c r="J7" s="11"/>
      <c r="K7" s="11"/>
    </row>
    <row r="8" customFormat="false" ht="23.85" hidden="false" customHeight="false" outlineLevel="0" collapsed="false">
      <c r="A8" s="6" t="s">
        <v>39</v>
      </c>
      <c r="B8" s="7" t="s">
        <v>33</v>
      </c>
      <c r="C8" s="7" t="s">
        <v>108</v>
      </c>
      <c r="D8" s="7" t="s">
        <v>109</v>
      </c>
      <c r="E8" s="7" t="s">
        <v>110</v>
      </c>
      <c r="F8" s="7" t="s">
        <v>111</v>
      </c>
      <c r="G8" s="7" t="s">
        <v>112</v>
      </c>
      <c r="H8" s="11"/>
      <c r="I8" s="11"/>
      <c r="J8" s="11"/>
      <c r="K8" s="11"/>
    </row>
    <row r="9" customFormat="false" ht="23.85" hidden="false" customHeight="false" outlineLevel="0" collapsed="false">
      <c r="A9" s="4" t="s">
        <v>44</v>
      </c>
      <c r="B9" s="5" t="s">
        <v>40</v>
      </c>
      <c r="C9" s="5" t="s">
        <v>113</v>
      </c>
      <c r="D9" s="5" t="s">
        <v>114</v>
      </c>
      <c r="E9" s="5" t="s">
        <v>115</v>
      </c>
      <c r="F9" s="5" t="s">
        <v>116</v>
      </c>
      <c r="G9" s="5" t="s">
        <v>117</v>
      </c>
      <c r="H9" s="11"/>
      <c r="I9" s="11"/>
      <c r="J9" s="11"/>
      <c r="K9" s="11"/>
    </row>
    <row r="10" customFormat="false" ht="23.85" hidden="false" customHeight="false" outlineLevel="0" collapsed="false">
      <c r="A10" s="6" t="s">
        <v>51</v>
      </c>
      <c r="B10" s="7" t="s">
        <v>45</v>
      </c>
      <c r="C10" s="7" t="s">
        <v>118</v>
      </c>
      <c r="D10" s="7" t="s">
        <v>114</v>
      </c>
      <c r="E10" s="7" t="s">
        <v>119</v>
      </c>
      <c r="F10" s="7" t="s">
        <v>120</v>
      </c>
      <c r="G10" s="7" t="s">
        <v>121</v>
      </c>
      <c r="H10" s="11"/>
      <c r="I10" s="11"/>
      <c r="J10" s="11"/>
      <c r="K10" s="11"/>
    </row>
    <row r="11" customFormat="false" ht="23.85" hidden="false" customHeight="false" outlineLevel="0" collapsed="false">
      <c r="A11" s="4" t="s">
        <v>57</v>
      </c>
      <c r="B11" s="5" t="s">
        <v>52</v>
      </c>
      <c r="C11" s="5" t="s">
        <v>122</v>
      </c>
      <c r="D11" s="5" t="s">
        <v>123</v>
      </c>
      <c r="E11" s="5" t="s">
        <v>124</v>
      </c>
      <c r="F11" s="5" t="s">
        <v>125</v>
      </c>
      <c r="G11" s="5" t="s">
        <v>126</v>
      </c>
      <c r="H11" s="11"/>
      <c r="I11" s="11"/>
      <c r="J11" s="11"/>
      <c r="K11" s="11"/>
    </row>
    <row r="12" customFormat="false" ht="23.85" hidden="false" customHeight="false" outlineLevel="0" collapsed="false">
      <c r="A12" s="6" t="s">
        <v>63</v>
      </c>
      <c r="B12" s="7" t="s">
        <v>58</v>
      </c>
      <c r="C12" s="7" t="s">
        <v>127</v>
      </c>
      <c r="D12" s="7" t="s">
        <v>128</v>
      </c>
      <c r="E12" s="7" t="s">
        <v>129</v>
      </c>
      <c r="F12" s="7" t="s">
        <v>130</v>
      </c>
      <c r="G12" s="7" t="s">
        <v>131</v>
      </c>
      <c r="H12" s="11"/>
      <c r="I12" s="11"/>
      <c r="J12" s="11"/>
      <c r="K12" s="11"/>
    </row>
    <row r="13" customFormat="false" ht="23.85" hidden="false" customHeight="false" outlineLevel="0" collapsed="false">
      <c r="A13" s="4" t="s">
        <v>68</v>
      </c>
      <c r="B13" s="5" t="s">
        <v>64</v>
      </c>
      <c r="C13" s="5" t="s">
        <v>132</v>
      </c>
      <c r="D13" s="5" t="s">
        <v>133</v>
      </c>
      <c r="E13" s="5" t="s">
        <v>134</v>
      </c>
      <c r="F13" s="5" t="s">
        <v>135</v>
      </c>
      <c r="G13" s="5" t="s">
        <v>136</v>
      </c>
      <c r="H13" s="11"/>
      <c r="I13" s="11"/>
      <c r="J13" s="11"/>
      <c r="K13" s="11"/>
    </row>
    <row r="14" customFormat="false" ht="23.85" hidden="false" customHeight="false" outlineLevel="0" collapsed="false">
      <c r="A14" s="6" t="s">
        <v>74</v>
      </c>
      <c r="B14" s="7" t="s">
        <v>69</v>
      </c>
      <c r="C14" s="7" t="s">
        <v>137</v>
      </c>
      <c r="D14" s="7" t="s">
        <v>138</v>
      </c>
      <c r="E14" s="7" t="s">
        <v>139</v>
      </c>
      <c r="F14" s="7" t="s">
        <v>140</v>
      </c>
      <c r="G14" s="7" t="s">
        <v>141</v>
      </c>
      <c r="H14" s="11"/>
      <c r="I14" s="11"/>
      <c r="J14" s="11"/>
      <c r="K14" s="11"/>
    </row>
    <row r="16" customFormat="false" ht="15" hidden="false" customHeight="false" outlineLevel="0" collapsed="false">
      <c r="A16" s="8" t="s">
        <v>142</v>
      </c>
    </row>
    <row r="17" customFormat="false" ht="23.85" hidden="false" customHeight="false" outlineLevel="0" collapsed="false">
      <c r="A17" s="5" t="s">
        <v>18</v>
      </c>
      <c r="B17" s="5" t="s">
        <v>11</v>
      </c>
      <c r="C17" s="5" t="s">
        <v>143</v>
      </c>
      <c r="D17" s="5"/>
      <c r="E17" s="5"/>
      <c r="F17" s="5"/>
      <c r="G17" s="5"/>
      <c r="H17" s="11" t="s">
        <v>144</v>
      </c>
      <c r="I17" s="11" t="s">
        <v>145</v>
      </c>
      <c r="J17" s="11" t="s">
        <v>146</v>
      </c>
      <c r="K17" s="11" t="s">
        <v>147</v>
      </c>
    </row>
    <row r="19" customFormat="false" ht="15" hidden="false" customHeight="false" outlineLevel="0" collapsed="false">
      <c r="A19" s="8" t="s">
        <v>148</v>
      </c>
    </row>
    <row r="20" customFormat="false" ht="15" hidden="false" customHeight="false" outlineLevel="0" collapsed="false">
      <c r="A20" s="9" t="s">
        <v>149</v>
      </c>
      <c r="B20" s="9" t="n">
        <f aca="false">COUNTA(A5:A14)</f>
        <v>10</v>
      </c>
    </row>
    <row r="21" customFormat="false" ht="15" hidden="false" customHeight="false" outlineLevel="0" collapsed="false">
      <c r="A21" s="9" t="s">
        <v>150</v>
      </c>
      <c r="B21" s="9" t="n">
        <f aca="false">COUNTIF(I5:I14,"Pass")</f>
        <v>0</v>
      </c>
    </row>
    <row r="22" customFormat="false" ht="15" hidden="false" customHeight="false" outlineLevel="0" collapsed="false">
      <c r="A22" s="9" t="s">
        <v>151</v>
      </c>
      <c r="B22" s="9" t="n">
        <f aca="false">COUNTIF(I5:I14,"Fail")</f>
        <v>0</v>
      </c>
    </row>
    <row r="23" customFormat="false" ht="15" hidden="false" customHeight="false" outlineLevel="0" collapsed="false">
      <c r="A23" s="9" t="s">
        <v>152</v>
      </c>
      <c r="B23" s="9" t="n">
        <f aca="false">B20-B21-B22</f>
        <v>10</v>
      </c>
    </row>
    <row r="24" customFormat="false" ht="15" hidden="false" customHeight="false" outlineLevel="0" collapsed="false">
      <c r="A24" s="9" t="s">
        <v>153</v>
      </c>
      <c r="B24" s="10" t="n">
        <f aca="false">IFERROR(B21/B20,0)</f>
        <v>0</v>
      </c>
    </row>
    <row r="26" customFormat="false" ht="15" hidden="false" customHeight="false" outlineLevel="0" collapsed="false">
      <c r="A26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2026-08-05T00:41:03Z</dcterms:created>
  <dc:creator>openpyxl</dc:creator>
  <dc:description/>
  <dc:language>en-US</dc:language>
  <cp:lastModifiedBy/>
  <dcterms:modified xsi:type="dcterms:W3CDTF">2026-08-05T00:41:03Z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